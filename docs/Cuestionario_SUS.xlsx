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Formula explained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X12" authorId="0">
      <text>
        <r>
          <rPr>
            <sz val="11"/>
            <color rgb="FF000000"/>
            <rFont val="Calibri"/>
            <family val="0"/>
            <charset val="1"/>
          </rPr>
          <t xml:space="preserve">======
ID#AAABJ4_bmB4
Chuka Emezue    (2024-03-27 16:15:51)
Thank you for sharing!</t>
        </r>
      </text>
    </comment>
  </commentList>
</comments>
</file>

<file path=xl/sharedStrings.xml><?xml version="1.0" encoding="utf-8"?>
<sst xmlns="http://schemas.openxmlformats.org/spreadsheetml/2006/main" count="73" uniqueCount="40">
  <si>
    <t xml:space="preserve">User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</si>
  <si>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</si>
  <si>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</si>
  <si>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</si>
  <si>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</si>
  <si>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</si>
  <si>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</si>
  <si>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</si>
  <si>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</si>
  <si>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</si>
  <si>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</si>
  <si>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X(odd)</t>
  </si>
  <si>
    <t xml:space="preserve">Y(even)</t>
  </si>
  <si>
    <t xml:space="preserve">SUS Score</t>
  </si>
  <si>
    <t xml:space="preserve">User 1</t>
  </si>
  <si>
    <t xml:space="preserve">Agree</t>
  </si>
  <si>
    <t xml:space="preserve">Disagree</t>
  </si>
  <si>
    <t xml:space="preserve">Strongly agree</t>
  </si>
  <si>
    <t xml:space="preserve">Strongly Disagree</t>
  </si>
  <si>
    <t xml:space="preserve">Neutral</t>
  </si>
  <si>
    <t xml:space="preserve">Strongly Agree</t>
  </si>
  <si>
    <t xml:space="preserve">User 2</t>
  </si>
  <si>
    <t xml:space="preserve">Test</t>
  </si>
  <si>
    <t xml:space="preserve">strongly disagree</t>
  </si>
  <si>
    <t xml:space="preserve">Final</t>
  </si>
  <si>
    <t xml:space="preserve">Aca sacamos el promedio de cada usuario</t>
  </si>
  <si>
    <t xml:space="preserve">Strongly Disagree: 1 point</t>
  </si>
  <si>
    <t xml:space="preserve">Disagree: 2 points</t>
  </si>
  <si>
    <t xml:space="preserve">Neutral: 3 points</t>
  </si>
  <si>
    <t xml:space="preserve">Agree: 4 points</t>
  </si>
  <si>
    <t xml:space="preserve">Strongly Agree: 5 points</t>
  </si>
  <si>
    <t xml:space="preserve">x = Subtract the sum of all points of odd-numbered questions by 5.</t>
  </si>
  <si>
    <t xml:space="preserve">y= Subtract 25 from the sum of points from all even numbered questions.</t>
  </si>
  <si>
    <t xml:space="preserve">https://www.questionpro.com/blog/system-usability-scale/#System_Usability_Scale_SUS_Score_and_Calculation</t>
  </si>
  <si>
    <t xml:space="preserve">SUS Score = (x+y) * 2.5</t>
  </si>
  <si>
    <t xml:space="preserve">For example, consider the sum of points of all odd-numbered questions to be 20. So,</t>
  </si>
  <si>
    <t xml:space="preserve">x = 20 – 5= 15</t>
  </si>
  <si>
    <t xml:space="preserve">Consider the sum of points of all even-numbered questions to be 25.</t>
  </si>
  <si>
    <t xml:space="preserve">y = 25-25= 0</t>
  </si>
  <si>
    <r>
      <rPr>
        <b val="true"/>
        <sz val="11"/>
        <color rgb="FF000000"/>
        <rFont val="Calibri"/>
        <family val="0"/>
        <charset val="1"/>
      </rPr>
      <t xml:space="preserve">SUS Score</t>
    </r>
    <r>
      <rPr>
        <sz val="11"/>
        <color rgb="FF000000"/>
        <rFont val="Calibri"/>
        <family val="0"/>
        <charset val="1"/>
      </rPr>
      <t xml:space="preserve"> = 15+0*2.5= 37.5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</si>
</sst>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7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u val="single"/>
      <sz val="11"/>
      <color rgb="FF000000"/>
      <name val="Calibri"/>
      <family val="0"/>
      <charset val="1"/>
    </font>
    <font>
      <u val="single"/>
      <sz val="11"/>
      <color rgb="FF0563C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ED7D31"/>
        <bgColor rgb="FFFF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questionpro.com/blog/system-usability-scal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8.7"/>
    <col collapsed="false" customWidth="true" hidden="false" outlineLevel="0" max="2" min="2" style="0" width="9.14"/>
    <col collapsed="false" customWidth="true" hidden="false" outlineLevel="0" max="3" min="3" style="0" width="8.7"/>
    <col collapsed="false" customWidth="true" hidden="false" outlineLevel="0" max="5" min="4" style="0" width="9.14"/>
    <col collapsed="false" customWidth="true" hidden="false" outlineLevel="0" max="11" min="6" style="0" width="8.7"/>
    <col collapsed="false" customWidth="true" hidden="false" outlineLevel="0" max="20" min="12" style="0" width="3.7"/>
    <col collapsed="false" customWidth="true" hidden="false" outlineLevel="0" max="21" min="21" style="0" width="4.7"/>
    <col collapsed="false" customWidth="true" hidden="false" outlineLevel="0" max="23" min="22" style="0" width="8.7"/>
    <col collapsed="false" customWidth="true" hidden="false" outlineLevel="0" max="24" min="24" style="0" width="40.16"/>
    <col collapsed="false" customWidth="true" hidden="false" outlineLevel="0" max="26" min="25" style="0" width="8.7"/>
  </cols>
  <sheetData>
    <row r="1" customFormat="false" ht="24.6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</v>
      </c>
      <c r="M1" s="3" t="s">
        <v>2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7</v>
      </c>
      <c r="S1" s="3" t="s">
        <v>8</v>
      </c>
      <c r="T1" s="3" t="s">
        <v>9</v>
      </c>
      <c r="U1" s="3" t="s">
        <v>10</v>
      </c>
      <c r="V1" s="4" t="s">
        <v>11</v>
      </c>
      <c r="W1" s="4" t="s">
        <v>12</v>
      </c>
      <c r="X1" s="4" t="s">
        <v>13</v>
      </c>
      <c r="Y1" s="1"/>
      <c r="Z1" s="1"/>
    </row>
    <row r="2" customFormat="false" ht="28.35" hidden="false" customHeight="false" outlineLevel="0" collapsed="false">
      <c r="A2" s="5" t="s">
        <v>14</v>
      </c>
      <c r="B2" s="6" t="s">
        <v>15</v>
      </c>
      <c r="C2" s="6" t="s">
        <v>16</v>
      </c>
      <c r="D2" s="6" t="s">
        <v>17</v>
      </c>
      <c r="E2" s="6" t="s">
        <v>18</v>
      </c>
      <c r="F2" s="6" t="s">
        <v>19</v>
      </c>
      <c r="G2" s="6" t="s">
        <v>19</v>
      </c>
      <c r="H2" s="6" t="s">
        <v>20</v>
      </c>
      <c r="I2" s="6" t="s">
        <v>16</v>
      </c>
      <c r="J2" s="6" t="s">
        <v>15</v>
      </c>
      <c r="K2" s="6" t="s">
        <v>16</v>
      </c>
      <c r="L2" s="7" t="n">
        <f aca="false">IF(AND(B2="Agree"), 4, IF(OR(B2="Disagree"), 2, IF(OR(B2="Strongly Disagree"), 1, IF(OR(B2="Neutral"), 3, IF(OR(B2="Strongly Agree"), 5)))))</f>
        <v>4</v>
      </c>
      <c r="M2" s="7" t="n">
        <f aca="false">IF(AND(C2="Agree"), 4, IF(OR(C2="Disagree"), 2, IF(OR(C2="Strongly Disagree"), 1, IF(OR(C2="Neutral"), 3, IF(OR(C2="Strongly Agree"), 5)))))</f>
        <v>2</v>
      </c>
      <c r="N2" s="7" t="n">
        <f aca="false">IF(AND(D2="Agree"), 4, IF(OR(D2="Disagree"), 2, IF(OR(D2="Strongly Disagree"), 1, IF(OR(D2="Neutral"), 3, IF(OR(D2="Strongly Agree"), 5)))))</f>
        <v>5</v>
      </c>
      <c r="O2" s="7" t="n">
        <f aca="false">IF(AND(E2="Agree"), 4, IF(OR(E2="Disagree"), 2, IF(OR(E2="Strongly Disagree"), 1, IF(OR(E2="Neutral"), 3, IF(OR(E2="Strongly Agree"), 5)))))</f>
        <v>1</v>
      </c>
      <c r="P2" s="7" t="n">
        <f aca="false">IF(AND(F2="Agree"), 4, IF(OR(F2="Disagree"), 2, IF(OR(F2="Strongly Disagree"), 1, IF(OR(F2="Neutral"), 3, IF(OR(F2="Strongly Agree"), 5)))))</f>
        <v>3</v>
      </c>
      <c r="Q2" s="7" t="n">
        <f aca="false">IF(AND(G2="Agree"), 4, IF(OR(G2="Disagree"), 2, IF(OR(G2="Strongly Disagree"), 1, IF(OR(G2="Neutral"), 3, IF(OR(G2="Strongly Agree"), 5)))))</f>
        <v>3</v>
      </c>
      <c r="R2" s="7" t="n">
        <f aca="false">IF(AND(H2="Agree"), 4, IF(OR(H2="Disagree"), 2, IF(OR(H2="Strongly Disagree"), 1, IF(OR(H2="Neutral"), 3, IF(OR(H2="Strongly Agree"), 5)))))</f>
        <v>5</v>
      </c>
      <c r="S2" s="7" t="n">
        <f aca="false">IF(AND(I2="Agree"), 4, IF(OR(I2="Disagree"), 2, IF(OR(I2="Strongly Disagree"), 1, IF(OR(I2="Neutral"), 3, IF(OR(I2="Strongly Agree"), 5)))))</f>
        <v>2</v>
      </c>
      <c r="T2" s="7" t="n">
        <f aca="false">IF(AND(J2="Agree"), 4, IF(OR(J2="Disagree"), 2, IF(OR(J2="Strongly Disagree"), 1, IF(OR(J2="Neutral"), 3, IF(OR(J2="Strongly Agree"), 5)))))</f>
        <v>4</v>
      </c>
      <c r="U2" s="7" t="n">
        <f aca="false">IF(AND(K2="Agree"), 4, IF(OR(K2="Disagree"), 2, IF(OR(K2="Strongly Disagree"), 1, IF(OR(K2="Neutral"), 3, IF(OR(K2="Strongly Agree"), 5)))))</f>
        <v>2</v>
      </c>
      <c r="V2" s="8" t="n">
        <f aca="false">(SUM(L2,N2,P2,R2,T2))-5</f>
        <v>16</v>
      </c>
      <c r="W2" s="8" t="n">
        <f aca="false">25-SUM(M2,O2,Q2,S2,U2)</f>
        <v>15</v>
      </c>
      <c r="X2" s="9" t="n">
        <f aca="false">(W2+V2)*2.5</f>
        <v>77.5</v>
      </c>
    </row>
    <row r="3" customFormat="false" ht="41.75" hidden="false" customHeight="true" outlineLevel="0" collapsed="false">
      <c r="A3" s="5" t="s">
        <v>21</v>
      </c>
      <c r="B3" s="6" t="s">
        <v>15</v>
      </c>
      <c r="C3" s="6" t="s">
        <v>19</v>
      </c>
      <c r="D3" s="6" t="s">
        <v>15</v>
      </c>
      <c r="E3" s="6" t="s">
        <v>16</v>
      </c>
      <c r="F3" s="6" t="s">
        <v>15</v>
      </c>
      <c r="G3" s="6" t="s">
        <v>16</v>
      </c>
      <c r="H3" s="6" t="s">
        <v>19</v>
      </c>
      <c r="I3" s="6" t="s">
        <v>16</v>
      </c>
      <c r="J3" s="6" t="s">
        <v>15</v>
      </c>
      <c r="K3" s="6" t="s">
        <v>16</v>
      </c>
      <c r="L3" s="7" t="n">
        <f aca="false">IF(AND(B3="Agree"), 4, IF(OR(B3="Disagree"), 2, IF(OR(B3="Strongly Disagree"), 1, IF(OR(B3="Neutral"), 3, IF(OR(B3="Strongly Agree"), 5)))))</f>
        <v>4</v>
      </c>
      <c r="M3" s="7" t="n">
        <f aca="false">IF(AND(C3="Agree"), 4, IF(OR(C3="Disagree"), 2, IF(OR(C3="Strongly Disagree"), 1, IF(OR(C3="Neutral"), 3, IF(OR(C3="Strongly Agree"), 5)))))</f>
        <v>3</v>
      </c>
      <c r="N3" s="7" t="n">
        <f aca="false">IF(AND(D3="Agree"), 4, IF(OR(D3="Disagree"), 2, IF(OR(D3="Strongly Disagree"), 1, IF(OR(D3="Neutral"), 3, IF(OR(D3="Strongly Agree"), 5)))))</f>
        <v>4</v>
      </c>
      <c r="O3" s="7" t="n">
        <f aca="false">IF(AND(E3="Agree"), 4, IF(OR(E3="Disagree"), 2, IF(OR(E3="Strongly Disagree"), 1, IF(OR(E3="Neutral"), 3, IF(OR(E3="Strongly Agree"), 5)))))</f>
        <v>2</v>
      </c>
      <c r="P3" s="7" t="n">
        <f aca="false">IF(AND(F3="Agree"), 4, IF(OR(F3="Disagree"), 2, IF(OR(F3="Strongly Disagree"), 1, IF(OR(F3="Neutral"), 3, IF(OR(F3="Strongly Agree"), 5)))))</f>
        <v>4</v>
      </c>
      <c r="Q3" s="7" t="n">
        <f aca="false">IF(AND(G3="Agree"), 4, IF(OR(G3="Disagree"), 2, IF(OR(G3="Strongly Disagree"), 1, IF(OR(G3="Neutral"), 3, IF(OR(G3="Strongly Agree"), 5)))))</f>
        <v>2</v>
      </c>
      <c r="R3" s="7" t="n">
        <f aca="false">IF(AND(H3="Agree"), 4, IF(OR(H3="Disagree"), 2, IF(OR(H3="Strongly Disagree"), 1, IF(OR(H3="Neutral"), 3, IF(OR(H3="Strongly Agree"), 5)))))</f>
        <v>3</v>
      </c>
      <c r="S3" s="7" t="n">
        <f aca="false">IF(AND(I3="Agree"), 4, IF(OR(I3="Disagree"), 2, IF(OR(I3="Strongly Disagree"), 1, IF(OR(I3="Neutral"), 3, IF(OR(I3="Strongly Agree"), 5)))))</f>
        <v>2</v>
      </c>
      <c r="T3" s="7" t="n">
        <f aca="false">IF(AND(J3="Agree"), 4, IF(OR(J3="Disagree"), 2, IF(OR(J3="Strongly Disagree"), 1, IF(OR(J3="Neutral"), 3, IF(OR(J3="Strongly Agree"), 5)))))</f>
        <v>4</v>
      </c>
      <c r="U3" s="7" t="n">
        <f aca="false">IF(AND(K3="Agree"), 4, IF(OR(K3="Disagree"), 2, IF(OR(K3="Strongly Disagree"), 1, IF(OR(K3="Neutral"), 3, IF(OR(K3="Strongly Agree"), 5)))))</f>
        <v>2</v>
      </c>
      <c r="V3" s="8" t="n">
        <f aca="false">(SUM(L3,N3,P3,R3,T3))-5</f>
        <v>14</v>
      </c>
      <c r="W3" s="8" t="n">
        <f aca="false">25-SUM(M3,O3,Q3,S3,U3)</f>
        <v>14</v>
      </c>
      <c r="X3" s="9" t="n">
        <f aca="false">(W3+V3)*2.5</f>
        <v>70</v>
      </c>
    </row>
    <row r="4" customFormat="false" ht="28.35" hidden="false" customHeight="false" outlineLevel="0" collapsed="false">
      <c r="A4" s="5" t="s">
        <v>22</v>
      </c>
      <c r="B4" s="1" t="s">
        <v>17</v>
      </c>
      <c r="C4" s="1" t="s">
        <v>23</v>
      </c>
      <c r="D4" s="1" t="s">
        <v>17</v>
      </c>
      <c r="E4" s="1" t="s">
        <v>23</v>
      </c>
      <c r="F4" s="1" t="s">
        <v>17</v>
      </c>
      <c r="G4" s="1" t="s">
        <v>23</v>
      </c>
      <c r="H4" s="1" t="s">
        <v>17</v>
      </c>
      <c r="I4" s="1" t="s">
        <v>23</v>
      </c>
      <c r="J4" s="1" t="s">
        <v>17</v>
      </c>
      <c r="K4" s="1" t="s">
        <v>23</v>
      </c>
      <c r="L4" s="7" t="n">
        <f aca="false">IF(AND(B4="Agree"), 4, IF(OR(B4="Disagree"), 2, IF(OR(B4="Strongly Disagree"), 1, IF(OR(B4="Neutral"), 3, IF(OR(B4="Strongly Agree"), 5)))))</f>
        <v>5</v>
      </c>
      <c r="M4" s="7" t="n">
        <f aca="false">IF(AND(C4="Agree"), 4, IF(OR(C4="Disagree"), 2, IF(OR(C4="Strongly Disagree"), 1, IF(OR(C4="Neutral"), 3, IF(OR(C4="Strongly Agree"), 5)))))</f>
        <v>1</v>
      </c>
      <c r="N4" s="7" t="n">
        <f aca="false">IF(AND(D4="Agree"), 4, IF(OR(D4="Disagree"), 2, IF(OR(D4="Strongly Disagree"), 1, IF(OR(D4="Neutral"), 3, IF(OR(D4="Strongly Agree"), 5)))))</f>
        <v>5</v>
      </c>
      <c r="O4" s="7" t="n">
        <f aca="false">IF(AND(E4="Agree"), 4, IF(OR(E4="Disagree"), 2, IF(OR(E4="Strongly Disagree"), 1, IF(OR(E4="Neutral"), 3, IF(OR(E4="Strongly Agree"), 5)))))</f>
        <v>1</v>
      </c>
      <c r="P4" s="7" t="n">
        <f aca="false">IF(AND(F4="Agree"), 4, IF(OR(F4="Disagree"), 2, IF(OR(F4="Strongly Disagree"), 1, IF(OR(F4="Neutral"), 3, IF(OR(F4="Strongly Agree"), 5)))))</f>
        <v>5</v>
      </c>
      <c r="Q4" s="7" t="n">
        <f aca="false">IF(AND(G4="Agree"), 4, IF(OR(G4="Disagree"), 2, IF(OR(G4="Strongly Disagree"), 1, IF(OR(G4="Neutral"), 3, IF(OR(G4="Strongly Agree"), 5)))))</f>
        <v>1</v>
      </c>
      <c r="R4" s="7" t="n">
        <f aca="false">IF(AND(H4="Agree"), 4, IF(OR(H4="Disagree"), 2, IF(OR(H4="Strongly Disagree"), 1, IF(OR(H4="Neutral"), 3, IF(OR(H4="Strongly Agree"), 5)))))</f>
        <v>5</v>
      </c>
      <c r="S4" s="7" t="n">
        <f aca="false">IF(AND(I4="Agree"), 4, IF(OR(I4="Disagree"), 2, IF(OR(I4="Strongly Disagree"), 1, IF(OR(I4="Neutral"), 3, IF(OR(I4="Strongly Agree"), 5)))))</f>
        <v>1</v>
      </c>
      <c r="T4" s="7" t="n">
        <f aca="false">IF(AND(J4="Agree"), 4, IF(OR(J4="Disagree"), 2, IF(OR(J4="Strongly Disagree"), 1, IF(OR(J4="Neutral"), 3, IF(OR(J4="Strongly Agree"), 5)))))</f>
        <v>5</v>
      </c>
      <c r="U4" s="7" t="n">
        <f aca="false">IF(AND(K4="Agree"), 4, IF(OR(K4="Disagree"), 2, IF(OR(K4="Strongly Disagree"), 1, IF(OR(K4="Neutral"), 3, IF(OR(K4="Strongly Agree"), 5)))))</f>
        <v>1</v>
      </c>
      <c r="V4" s="8" t="n">
        <f aca="false">(SUM(L4,N4,P4,R4,T4))-5</f>
        <v>20</v>
      </c>
      <c r="W4" s="8" t="n">
        <f aca="false">25-SUM(M4,O4,Q4,S4,U4)</f>
        <v>20</v>
      </c>
      <c r="X4" s="9" t="n">
        <f aca="false">(W4+V4)*2.5</f>
        <v>100</v>
      </c>
    </row>
    <row r="5" customFormat="false" ht="15" hidden="false" customHeight="fals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V5" s="8"/>
      <c r="W5" s="8" t="s">
        <v>24</v>
      </c>
      <c r="X5" s="9" t="s">
        <v>25</v>
      </c>
    </row>
    <row r="6" customFormat="false" ht="15" hidden="false" customHeight="false" outlineLevel="0" collapsed="false">
      <c r="B6" s="1"/>
      <c r="C6" s="1"/>
      <c r="D6" s="1"/>
      <c r="E6" s="1"/>
      <c r="F6" s="1"/>
      <c r="G6" s="1"/>
      <c r="H6" s="1"/>
      <c r="I6" s="1"/>
      <c r="J6" s="1"/>
      <c r="K6" s="1"/>
    </row>
    <row r="7" customFormat="false" ht="15" hidden="false" customHeight="false" outlineLevel="0" collapsed="false">
      <c r="B7" s="1"/>
      <c r="C7" s="1"/>
      <c r="D7" s="1"/>
      <c r="E7" s="1"/>
      <c r="F7" s="1"/>
      <c r="G7" s="1"/>
      <c r="H7" s="1"/>
      <c r="I7" s="1"/>
      <c r="J7" s="1"/>
      <c r="K7" s="1"/>
    </row>
    <row r="8" customFormat="false" ht="15" hidden="false" customHeight="false" outlineLevel="0" collapsed="false">
      <c r="B8" s="1"/>
      <c r="C8" s="1"/>
      <c r="D8" s="1"/>
      <c r="E8" s="1"/>
      <c r="F8" s="1"/>
      <c r="G8" s="1"/>
      <c r="H8" s="1"/>
      <c r="I8" s="1"/>
      <c r="J8" s="1"/>
      <c r="K8" s="1"/>
    </row>
    <row r="9" customFormat="false" ht="15" hidden="false" customHeight="false" outlineLevel="0" collapsed="false">
      <c r="B9" s="1"/>
      <c r="C9" s="1"/>
      <c r="D9" s="1"/>
      <c r="E9" s="1"/>
      <c r="F9" s="1"/>
      <c r="G9" s="1"/>
      <c r="H9" s="1"/>
      <c r="I9" s="1"/>
      <c r="J9" s="1"/>
      <c r="K9" s="1"/>
    </row>
    <row r="10" customFormat="false" ht="15" hidden="false" customHeight="false" outlineLevel="0" collapsed="false">
      <c r="B10" s="1"/>
      <c r="C10" s="1"/>
      <c r="D10" s="1"/>
      <c r="E10" s="1"/>
      <c r="F10" s="1"/>
      <c r="G10" s="1"/>
      <c r="H10" s="1"/>
      <c r="I10" s="1"/>
      <c r="J10" s="1"/>
      <c r="K10" s="1"/>
    </row>
    <row r="11" customFormat="false" ht="15" hidden="false" customHeight="false" outlineLevel="0" collapsed="false">
      <c r="B11" s="1"/>
      <c r="C11" s="1"/>
      <c r="D11" s="1"/>
      <c r="E11" s="1"/>
      <c r="F11" s="1"/>
      <c r="G11" s="1"/>
      <c r="H11" s="1"/>
      <c r="I11" s="1"/>
      <c r="J11" s="1"/>
      <c r="K11" s="1"/>
    </row>
    <row r="14" customFormat="false" ht="15" hidden="false" customHeight="true" outlineLevel="0" collapsed="false">
      <c r="G14" s="10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24.43"/>
    <col collapsed="false" customWidth="true" hidden="false" outlineLevel="0" max="26" min="2" style="0" width="8.7"/>
  </cols>
  <sheetData>
    <row r="1" customFormat="false" ht="15" hidden="false" customHeight="false" outlineLevel="0" collapsed="false">
      <c r="A1" s="7" t="s">
        <v>26</v>
      </c>
    </row>
    <row r="2" customFormat="false" ht="15" hidden="false" customHeight="false" outlineLevel="0" collapsed="false">
      <c r="A2" s="7" t="s">
        <v>27</v>
      </c>
    </row>
    <row r="3" customFormat="false" ht="15" hidden="false" customHeight="false" outlineLevel="0" collapsed="false">
      <c r="A3" s="7" t="s">
        <v>28</v>
      </c>
    </row>
    <row r="4" customFormat="false" ht="15" hidden="false" customHeight="false" outlineLevel="0" collapsed="false">
      <c r="A4" s="7" t="s">
        <v>29</v>
      </c>
    </row>
    <row r="5" customFormat="false" ht="15" hidden="false" customHeight="false" outlineLevel="0" collapsed="false">
      <c r="A5" s="7" t="s">
        <v>30</v>
      </c>
    </row>
    <row r="8" customFormat="false" ht="15" hidden="false" customHeight="false" outlineLevel="0" collapsed="false">
      <c r="A8" s="7" t="s">
        <v>31</v>
      </c>
    </row>
    <row r="9" customFormat="false" ht="15" hidden="false" customHeight="false" outlineLevel="0" collapsed="false">
      <c r="A9" s="7" t="s">
        <v>32</v>
      </c>
    </row>
    <row r="12" customFormat="false" ht="15" hidden="false" customHeight="false" outlineLevel="0" collapsed="false">
      <c r="A12" s="11" t="s">
        <v>33</v>
      </c>
    </row>
    <row r="15" customFormat="false" ht="15" hidden="false" customHeight="false" outlineLevel="0" collapsed="false">
      <c r="A15" s="7" t="s">
        <v>34</v>
      </c>
    </row>
    <row r="19" customFormat="false" ht="15" hidden="false" customHeight="false" outlineLevel="0" collapsed="false">
      <c r="A19" s="7" t="s">
        <v>35</v>
      </c>
    </row>
    <row r="20" customFormat="false" ht="15" hidden="false" customHeight="false" outlineLevel="0" collapsed="false">
      <c r="A20" s="7" t="s">
        <v>36</v>
      </c>
    </row>
    <row r="21" customFormat="false" ht="15.75" hidden="false" customHeight="true" outlineLevel="0" collapsed="false">
      <c r="A21" s="7" t="s">
        <v>37</v>
      </c>
    </row>
    <row r="22" customFormat="false" ht="15.75" hidden="false" customHeight="true" outlineLevel="0" collapsed="false">
      <c r="A22" s="7" t="s">
        <v>38</v>
      </c>
    </row>
    <row r="23" customFormat="false" ht="15.75" hidden="false" customHeight="true" outlineLevel="0" collapsed="false">
      <c r="A23" s="12" t="s">
        <v>39</v>
      </c>
    </row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A12" r:id="rId1" location="System_Usability_Scale_SUS_Score_and_Calculation" display="https://www.questionpro.com/blog/system-usability-scale/#System_Usability_Scale_SUS_Score_and_Calculatio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es-CL</dc:language>
  <cp:lastModifiedBy/>
  <dcterms:modified xsi:type="dcterms:W3CDTF">2026-02-16T16:21:05Z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0x0101005D034FD6A547DD43957D061E7E2E5A2A</vt:lpwstr>
  </property>
  <property fmtid="{D5CDD505-2E9C-101B-9397-08002B2CF9AE}" pid="3" name="MediaServiceImageTags">
    <vt:lpwstr/>
  </property>
</Properties>
</file>